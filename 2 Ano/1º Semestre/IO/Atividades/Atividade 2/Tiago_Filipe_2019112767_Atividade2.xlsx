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O/Atividades/Atividade 2/"/>
    </mc:Choice>
  </mc:AlternateContent>
  <xr:revisionPtr revIDLastSave="1582" documentId="8_{8214D0C3-3DB1-40AC-94DF-391094F9F0EE}" xr6:coauthVersionLast="47" xr6:coauthVersionMax="47" xr10:uidLastSave="{0E161D1B-9BCA-49AC-8957-E71DC5D10004}"/>
  <bookViews>
    <workbookView xWindow="-110" yWindow="-110" windowWidth="19420" windowHeight="11020" activeTab="1" xr2:uid="{B2F1E00C-9D7C-48DC-B279-20EFAF8242B1}"/>
  </bookViews>
  <sheets>
    <sheet name="Relatório de Resposta 1" sheetId="6" r:id="rId1"/>
    <sheet name="Problema" sheetId="1" r:id="rId2"/>
  </sheets>
  <definedNames>
    <definedName name="solver_adj" localSheetId="1" hidden="1">Problema!$B$9:$G$9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Problema!$J$14</definedName>
    <definedName name="solver_lhs10" localSheetId="1" hidden="1">Problema!$J$23</definedName>
    <definedName name="solver_lhs11" localSheetId="1" hidden="1">Problema!$J$24</definedName>
    <definedName name="solver_lhs12" localSheetId="1" hidden="1">Problema!$J$25</definedName>
    <definedName name="solver_lhs13" localSheetId="1" hidden="1">Problema!$J$26</definedName>
    <definedName name="solver_lhs2" localSheetId="1" hidden="1">Problema!$J$15</definedName>
    <definedName name="solver_lhs3" localSheetId="1" hidden="1">Problema!$J$16</definedName>
    <definedName name="solver_lhs4" localSheetId="1" hidden="1">Problema!$J$17</definedName>
    <definedName name="solver_lhs5" localSheetId="1" hidden="1">Problema!$J$18</definedName>
    <definedName name="solver_lhs6" localSheetId="1" hidden="1">Problema!$J$19</definedName>
    <definedName name="solver_lhs7" localSheetId="1" hidden="1">Problema!$J$20</definedName>
    <definedName name="solver_lhs8" localSheetId="1" hidden="1">Problema!$J$21</definedName>
    <definedName name="solver_lhs9" localSheetId="1" hidden="1">Problema!$J$22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13</definedName>
    <definedName name="solver_nwt" localSheetId="1" hidden="1">1</definedName>
    <definedName name="solver_opt" localSheetId="1" hidden="1">Problema!$J$5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3</definedName>
    <definedName name="solver_rel11" localSheetId="1" hidden="1">3</definedName>
    <definedName name="solver_rel12" localSheetId="1" hidden="1">3</definedName>
    <definedName name="solver_rel13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3</definedName>
    <definedName name="solver_rel8" localSheetId="1" hidden="1">3</definedName>
    <definedName name="solver_rel9" localSheetId="1" hidden="1">3</definedName>
    <definedName name="solver_rhs1" localSheetId="1" hidden="1">Problema!$K$14</definedName>
    <definedName name="solver_rhs10" localSheetId="1" hidden="1">Problema!$K$23</definedName>
    <definedName name="solver_rhs11" localSheetId="1" hidden="1">Problema!$K$24</definedName>
    <definedName name="solver_rhs12" localSheetId="1" hidden="1">Problema!$K$25</definedName>
    <definedName name="solver_rhs13" localSheetId="1" hidden="1">Problema!$K$26</definedName>
    <definedName name="solver_rhs2" localSheetId="1" hidden="1">Problema!$K$15</definedName>
    <definedName name="solver_rhs3" localSheetId="1" hidden="1">Problema!$K$16</definedName>
    <definedName name="solver_rhs4" localSheetId="1" hidden="1">Problema!$K$17</definedName>
    <definedName name="solver_rhs5" localSheetId="1" hidden="1">Problema!$K$18</definedName>
    <definedName name="solver_rhs6" localSheetId="1" hidden="1">Problema!$K$19</definedName>
    <definedName name="solver_rhs7" localSheetId="1" hidden="1">Problema!$K$20</definedName>
    <definedName name="solver_rhs8" localSheetId="1" hidden="1">Problema!$K$21</definedName>
    <definedName name="solver_rhs9" localSheetId="1" hidden="1">Problema!$K$22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</calcChain>
</file>

<file path=xl/sharedStrings.xml><?xml version="1.0" encoding="utf-8"?>
<sst xmlns="http://schemas.openxmlformats.org/spreadsheetml/2006/main" count="128" uniqueCount="78">
  <si>
    <t>Função Objectivo</t>
  </si>
  <si>
    <t>Coeficientes das variáveis</t>
  </si>
  <si>
    <t>Valor da função objectivo</t>
  </si>
  <si>
    <r>
      <t>X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</si>
  <si>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</si>
  <si>
    <t>z</t>
  </si>
  <si>
    <t>Variáveis de decisão</t>
  </si>
  <si>
    <t>Restrições</t>
  </si>
  <si>
    <t>Lado esquerdo</t>
  </si>
  <si>
    <t>Lado direito</t>
  </si>
  <si>
    <r>
      <t>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</si>
  <si>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</si>
  <si>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</si>
  <si>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/>
    </r>
  </si>
  <si>
    <t>Microsoft Excel 16.0 Relatório de Resposta</t>
  </si>
  <si>
    <t>Folha de Cálculo: [Livro1.xlsx]Problema</t>
  </si>
  <si>
    <t>Resultado: O Solver encontrou uma solução. Todas as restrições e condições de otimização foram satisfeitas.</t>
  </si>
  <si>
    <t>Motor do Solver</t>
  </si>
  <si>
    <t>Motor: LP Simplex</t>
  </si>
  <si>
    <t>Iterações: 12 Subproblemas: 0</t>
  </si>
  <si>
    <t>Opções do Solver</t>
  </si>
  <si>
    <t>Tempo Máximo Ilimitado,  Iterações Ilimitado, Precision 0,000001, Utilizar Arredondamento Automático</t>
  </si>
  <si>
    <t>Máximo de Subproblemas Ilimitado, Máximo de Soluções de Número Inteiro Ilimitado, Tolerância de Número Inteiro 1%, Assumir NãoNegativo</t>
  </si>
  <si>
    <t>Célula de Objetivo (Máximo)</t>
  </si>
  <si>
    <t>Célula</t>
  </si>
  <si>
    <t>Nome</t>
  </si>
  <si>
    <t>Valor Original</t>
  </si>
  <si>
    <t>Valor Final</t>
  </si>
  <si>
    <t>Células de Variável</t>
  </si>
  <si>
    <t>Número inteiro</t>
  </si>
  <si>
    <t>Valor da Célula</t>
  </si>
  <si>
    <t>Fórmula</t>
  </si>
  <si>
    <t>Estado</t>
  </si>
  <si>
    <t>Margem</t>
  </si>
  <si>
    <t>$J$5</t>
  </si>
  <si>
    <t>$B$9</t>
  </si>
  <si>
    <t>X1</t>
  </si>
  <si>
    <t>Contin</t>
  </si>
  <si>
    <t>$C$9</t>
  </si>
  <si>
    <t>X2</t>
  </si>
  <si>
    <t>$D$9</t>
  </si>
  <si>
    <t>X3</t>
  </si>
  <si>
    <t>$E$9</t>
  </si>
  <si>
    <t>X4</t>
  </si>
  <si>
    <t>$F$9</t>
  </si>
  <si>
    <t>X5</t>
  </si>
  <si>
    <t>$G$9</t>
  </si>
  <si>
    <t>X6</t>
  </si>
  <si>
    <t>$J$14</t>
  </si>
  <si>
    <t>$J$14&lt;=$K$14</t>
  </si>
  <si>
    <t>Enlace</t>
  </si>
  <si>
    <t>$J$15</t>
  </si>
  <si>
    <t>$J$15&lt;=$K$15</t>
  </si>
  <si>
    <t>$J$16</t>
  </si>
  <si>
    <t>$J$16&lt;=$K$16</t>
  </si>
  <si>
    <t>$J$17</t>
  </si>
  <si>
    <t>$J$17&lt;=$K$17</t>
  </si>
  <si>
    <t>$J$18</t>
  </si>
  <si>
    <t>$J$18&lt;=$K$18</t>
  </si>
  <si>
    <t>$J$19</t>
  </si>
  <si>
    <t>$J$19&lt;=$K$19</t>
  </si>
  <si>
    <t>$J$20</t>
  </si>
  <si>
    <t>$J$20&gt;=$K$20</t>
  </si>
  <si>
    <t>Sem Enlace</t>
  </si>
  <si>
    <t>$J$21</t>
  </si>
  <si>
    <t>$J$21&gt;=$K$21</t>
  </si>
  <si>
    <t>$J$22</t>
  </si>
  <si>
    <t>$J$22&gt;=$K$22</t>
  </si>
  <si>
    <t>$J$23</t>
  </si>
  <si>
    <t>$J$23&gt;=$K$23</t>
  </si>
  <si>
    <t>$J$24</t>
  </si>
  <si>
    <t>$J$24&gt;=$K$24</t>
  </si>
  <si>
    <t>$J$25</t>
  </si>
  <si>
    <t>$J$25&gt;=$K$25</t>
  </si>
  <si>
    <t>$J$26</t>
  </si>
  <si>
    <t>$J$26&lt;=$K$26</t>
  </si>
  <si>
    <t>Relatório Criado: 07/11/2024 19:05:22</t>
  </si>
  <si>
    <t>Tempo de Solução: 0,172 Segundos.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</si>
</sst>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Fill="1" applyBorder="1" applyAlignment="1"/>
    <xf numFmtId="0" fontId="5" fillId="0" borderId="5" xfId="0" applyFont="1" applyFill="1" applyBorder="1" applyAlignment="1">
      <alignment horizontal="center"/>
    </xf>
    <xf numFmtId="0" fontId="0" fillId="0" borderId="7" xfId="0" applyFill="1" applyBorder="1" applyAlignment="1"/>
    <xf numFmtId="0" fontId="0" fillId="0" borderId="6" xfId="0" applyNumberFormat="1" applyFill="1" applyBorder="1" applyAlignment="1"/>
    <xf numFmtId="0" fontId="0" fillId="0" borderId="7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A3F9-82CE-4C94-8210-A9EE65575FC8}">
  <dimension ref="A1:G43"/>
  <sheetViews>
    <sheetView showGridLines="0" workbookViewId="0"/>
  </sheetViews>
  <sheetFormatPr defaultRowHeight="14.5" x14ac:dyDescent="0.35"/>
  <cols>
    <col min="1" max="1" width="2.1796875" customWidth="1"/>
    <col min="2" max="2" width="6.26953125" bestFit="1" customWidth="1"/>
    <col min="3" max="3" width="12.6328125" bestFit="1" customWidth="1"/>
    <col min="4" max="4" width="13.453125" bestFit="1" customWidth="1"/>
    <col min="5" max="5" width="12.453125" bestFit="1" customWidth="1"/>
    <col min="6" max="6" width="13.36328125" bestFit="1" customWidth="1"/>
    <col min="7" max="7" width="7.453125" bestFit="1" customWidth="1"/>
  </cols>
  <sheetData>
    <row r="1" spans="1:5" x14ac:dyDescent="0.35">
      <c r="A1" s="7" t="s">
        <v>14</v>
      </c>
    </row>
    <row r="2" spans="1:5" x14ac:dyDescent="0.35">
      <c r="A2" s="7" t="s">
        <v>15</v>
      </c>
    </row>
    <row r="3" spans="1:5" x14ac:dyDescent="0.35">
      <c r="A3" s="7" t="s">
        <v>76</v>
      </c>
    </row>
    <row r="4" spans="1:5" x14ac:dyDescent="0.35">
      <c r="A4" s="7" t="s">
        <v>16</v>
      </c>
    </row>
    <row r="5" spans="1:5" x14ac:dyDescent="0.35">
      <c r="A5" s="7" t="s">
        <v>17</v>
      </c>
    </row>
    <row r="6" spans="1:5" x14ac:dyDescent="0.35">
      <c r="A6" s="7"/>
      <c r="B6" t="s">
        <v>18</v>
      </c>
    </row>
    <row r="7" spans="1:5" x14ac:dyDescent="0.35">
      <c r="A7" s="7"/>
      <c r="B7" t="s">
        <v>77</v>
      </c>
    </row>
    <row r="8" spans="1:5" x14ac:dyDescent="0.35">
      <c r="A8" s="7"/>
      <c r="B8" t="s">
        <v>19</v>
      </c>
    </row>
    <row r="9" spans="1:5" x14ac:dyDescent="0.35">
      <c r="A9" s="7" t="s">
        <v>20</v>
      </c>
    </row>
    <row r="10" spans="1:5" x14ac:dyDescent="0.35">
      <c r="B10" t="s">
        <v>21</v>
      </c>
    </row>
    <row r="11" spans="1:5" x14ac:dyDescent="0.35">
      <c r="B11" t="s">
        <v>22</v>
      </c>
    </row>
    <row r="14" spans="1:5" ht="15" thickBot="1" x14ac:dyDescent="0.4">
      <c r="A14" t="s">
        <v>23</v>
      </c>
    </row>
    <row r="15" spans="1:5" ht="15" thickBot="1" x14ac:dyDescent="0.4">
      <c r="B15" s="17" t="s">
        <v>24</v>
      </c>
      <c r="C15" s="17" t="s">
        <v>25</v>
      </c>
      <c r="D15" s="17" t="s">
        <v>26</v>
      </c>
      <c r="E15" s="17" t="s">
        <v>27</v>
      </c>
    </row>
    <row r="16" spans="1:5" ht="15" thickBot="1" x14ac:dyDescent="0.4">
      <c r="B16" s="16" t="s">
        <v>34</v>
      </c>
      <c r="C16" s="16" t="s">
        <v>5</v>
      </c>
      <c r="D16" s="19">
        <v>112</v>
      </c>
      <c r="E16" s="19">
        <v>112</v>
      </c>
    </row>
    <row r="19" spans="1:7" ht="15" thickBot="1" x14ac:dyDescent="0.4">
      <c r="A19" t="s">
        <v>28</v>
      </c>
    </row>
    <row r="20" spans="1:7" ht="15" thickBot="1" x14ac:dyDescent="0.4">
      <c r="B20" s="17" t="s">
        <v>24</v>
      </c>
      <c r="C20" s="17" t="s">
        <v>25</v>
      </c>
      <c r="D20" s="17" t="s">
        <v>26</v>
      </c>
      <c r="E20" s="17" t="s">
        <v>27</v>
      </c>
      <c r="F20" s="17" t="s">
        <v>29</v>
      </c>
    </row>
    <row r="21" spans="1:7" x14ac:dyDescent="0.35">
      <c r="B21" s="18" t="s">
        <v>35</v>
      </c>
      <c r="C21" s="18" t="s">
        <v>36</v>
      </c>
      <c r="D21" s="20">
        <v>6</v>
      </c>
      <c r="E21" s="20">
        <v>6</v>
      </c>
      <c r="F21" s="18" t="s">
        <v>37</v>
      </c>
    </row>
    <row r="22" spans="1:7" x14ac:dyDescent="0.35">
      <c r="B22" s="18" t="s">
        <v>38</v>
      </c>
      <c r="C22" s="18" t="s">
        <v>39</v>
      </c>
      <c r="D22" s="20">
        <v>7</v>
      </c>
      <c r="E22" s="20">
        <v>7</v>
      </c>
      <c r="F22" s="18" t="s">
        <v>37</v>
      </c>
    </row>
    <row r="23" spans="1:7" x14ac:dyDescent="0.35">
      <c r="B23" s="18" t="s">
        <v>40</v>
      </c>
      <c r="C23" s="18" t="s">
        <v>41</v>
      </c>
      <c r="D23" s="20">
        <v>5</v>
      </c>
      <c r="E23" s="20">
        <v>5</v>
      </c>
      <c r="F23" s="18" t="s">
        <v>37</v>
      </c>
    </row>
    <row r="24" spans="1:7" x14ac:dyDescent="0.35">
      <c r="B24" s="18" t="s">
        <v>42</v>
      </c>
      <c r="C24" s="18" t="s">
        <v>43</v>
      </c>
      <c r="D24" s="20">
        <v>3</v>
      </c>
      <c r="E24" s="20">
        <v>3</v>
      </c>
      <c r="F24" s="18" t="s">
        <v>37</v>
      </c>
    </row>
    <row r="25" spans="1:7" x14ac:dyDescent="0.35">
      <c r="B25" s="18" t="s">
        <v>44</v>
      </c>
      <c r="C25" s="18" t="s">
        <v>45</v>
      </c>
      <c r="D25" s="20">
        <v>6</v>
      </c>
      <c r="E25" s="20">
        <v>6</v>
      </c>
      <c r="F25" s="18" t="s">
        <v>37</v>
      </c>
    </row>
    <row r="26" spans="1:7" ht="15" thickBot="1" x14ac:dyDescent="0.4">
      <c r="B26" s="16" t="s">
        <v>46</v>
      </c>
      <c r="C26" s="16" t="s">
        <v>47</v>
      </c>
      <c r="D26" s="19">
        <v>5</v>
      </c>
      <c r="E26" s="19">
        <v>5</v>
      </c>
      <c r="F26" s="16" t="s">
        <v>37</v>
      </c>
    </row>
    <row r="29" spans="1:7" ht="15" thickBot="1" x14ac:dyDescent="0.4">
      <c r="A29" t="s">
        <v>7</v>
      </c>
    </row>
    <row r="30" spans="1:7" ht="15" thickBot="1" x14ac:dyDescent="0.4">
      <c r="B30" s="17" t="s">
        <v>24</v>
      </c>
      <c r="C30" s="17" t="s">
        <v>25</v>
      </c>
      <c r="D30" s="17" t="s">
        <v>30</v>
      </c>
      <c r="E30" s="17" t="s">
        <v>31</v>
      </c>
      <c r="F30" s="17" t="s">
        <v>32</v>
      </c>
      <c r="G30" s="17" t="s">
        <v>33</v>
      </c>
    </row>
    <row r="31" spans="1:7" x14ac:dyDescent="0.35">
      <c r="B31" s="18" t="s">
        <v>48</v>
      </c>
      <c r="C31" s="18" t="s">
        <v>8</v>
      </c>
      <c r="D31" s="20">
        <v>6</v>
      </c>
      <c r="E31" s="18" t="s">
        <v>49</v>
      </c>
      <c r="F31" s="18" t="s">
        <v>50</v>
      </c>
      <c r="G31" s="18">
        <v>0</v>
      </c>
    </row>
    <row r="32" spans="1:7" x14ac:dyDescent="0.35">
      <c r="B32" s="18" t="s">
        <v>51</v>
      </c>
      <c r="C32" s="18" t="s">
        <v>8</v>
      </c>
      <c r="D32" s="20">
        <v>7</v>
      </c>
      <c r="E32" s="18" t="s">
        <v>52</v>
      </c>
      <c r="F32" s="18" t="s">
        <v>50</v>
      </c>
      <c r="G32" s="18">
        <v>0</v>
      </c>
    </row>
    <row r="33" spans="2:7" x14ac:dyDescent="0.35">
      <c r="B33" s="18" t="s">
        <v>53</v>
      </c>
      <c r="C33" s="18" t="s">
        <v>8</v>
      </c>
      <c r="D33" s="20">
        <v>5</v>
      </c>
      <c r="E33" s="18" t="s">
        <v>54</v>
      </c>
      <c r="F33" s="18" t="s">
        <v>50</v>
      </c>
      <c r="G33" s="18">
        <v>0</v>
      </c>
    </row>
    <row r="34" spans="2:7" x14ac:dyDescent="0.35">
      <c r="B34" s="18" t="s">
        <v>55</v>
      </c>
      <c r="C34" s="18" t="s">
        <v>8</v>
      </c>
      <c r="D34" s="20">
        <v>3</v>
      </c>
      <c r="E34" s="18" t="s">
        <v>56</v>
      </c>
      <c r="F34" s="18" t="s">
        <v>63</v>
      </c>
      <c r="G34" s="18">
        <v>2</v>
      </c>
    </row>
    <row r="35" spans="2:7" x14ac:dyDescent="0.35">
      <c r="B35" s="18" t="s">
        <v>57</v>
      </c>
      <c r="C35" s="18" t="s">
        <v>8</v>
      </c>
      <c r="D35" s="20">
        <v>6</v>
      </c>
      <c r="E35" s="18" t="s">
        <v>58</v>
      </c>
      <c r="F35" s="18" t="s">
        <v>50</v>
      </c>
      <c r="G35" s="18">
        <v>0</v>
      </c>
    </row>
    <row r="36" spans="2:7" x14ac:dyDescent="0.35">
      <c r="B36" s="18" t="s">
        <v>59</v>
      </c>
      <c r="C36" s="18" t="s">
        <v>8</v>
      </c>
      <c r="D36" s="20">
        <v>5</v>
      </c>
      <c r="E36" s="18" t="s">
        <v>60</v>
      </c>
      <c r="F36" s="18" t="s">
        <v>50</v>
      </c>
      <c r="G36" s="18">
        <v>0</v>
      </c>
    </row>
    <row r="37" spans="2:7" x14ac:dyDescent="0.35">
      <c r="B37" s="18" t="s">
        <v>61</v>
      </c>
      <c r="C37" s="18" t="s">
        <v>8</v>
      </c>
      <c r="D37" s="20">
        <v>6</v>
      </c>
      <c r="E37" s="18" t="s">
        <v>62</v>
      </c>
      <c r="F37" s="18" t="s">
        <v>63</v>
      </c>
      <c r="G37" s="20">
        <v>2</v>
      </c>
    </row>
    <row r="38" spans="2:7" x14ac:dyDescent="0.35">
      <c r="B38" s="18" t="s">
        <v>64</v>
      </c>
      <c r="C38" s="18" t="s">
        <v>8</v>
      </c>
      <c r="D38" s="20">
        <v>7</v>
      </c>
      <c r="E38" s="18" t="s">
        <v>65</v>
      </c>
      <c r="F38" s="18" t="s">
        <v>63</v>
      </c>
      <c r="G38" s="20">
        <v>3</v>
      </c>
    </row>
    <row r="39" spans="2:7" x14ac:dyDescent="0.35">
      <c r="B39" s="18" t="s">
        <v>66</v>
      </c>
      <c r="C39" s="18" t="s">
        <v>8</v>
      </c>
      <c r="D39" s="20">
        <v>5</v>
      </c>
      <c r="E39" s="18" t="s">
        <v>67</v>
      </c>
      <c r="F39" s="18" t="s">
        <v>63</v>
      </c>
      <c r="G39" s="20">
        <v>2</v>
      </c>
    </row>
    <row r="40" spans="2:7" x14ac:dyDescent="0.35">
      <c r="B40" s="18" t="s">
        <v>68</v>
      </c>
      <c r="C40" s="18" t="s">
        <v>8</v>
      </c>
      <c r="D40" s="20">
        <v>3</v>
      </c>
      <c r="E40" s="18" t="s">
        <v>69</v>
      </c>
      <c r="F40" s="18" t="s">
        <v>63</v>
      </c>
      <c r="G40" s="20">
        <v>1</v>
      </c>
    </row>
    <row r="41" spans="2:7" x14ac:dyDescent="0.35">
      <c r="B41" s="18" t="s">
        <v>70</v>
      </c>
      <c r="C41" s="18" t="s">
        <v>8</v>
      </c>
      <c r="D41" s="20">
        <v>6</v>
      </c>
      <c r="E41" s="18" t="s">
        <v>71</v>
      </c>
      <c r="F41" s="18" t="s">
        <v>63</v>
      </c>
      <c r="G41" s="20">
        <v>2</v>
      </c>
    </row>
    <row r="42" spans="2:7" x14ac:dyDescent="0.35">
      <c r="B42" s="18" t="s">
        <v>72</v>
      </c>
      <c r="C42" s="18" t="s">
        <v>8</v>
      </c>
      <c r="D42" s="20">
        <v>5</v>
      </c>
      <c r="E42" s="18" t="s">
        <v>73</v>
      </c>
      <c r="F42" s="18" t="s">
        <v>63</v>
      </c>
      <c r="G42" s="20">
        <v>2</v>
      </c>
    </row>
    <row r="43" spans="2:7" ht="15" thickBot="1" x14ac:dyDescent="0.4">
      <c r="B43" s="16" t="s">
        <v>74</v>
      </c>
      <c r="C43" s="16" t="s">
        <v>8</v>
      </c>
      <c r="D43" s="19">
        <v>32</v>
      </c>
      <c r="E43" s="16" t="s">
        <v>75</v>
      </c>
      <c r="F43" s="16" t="s">
        <v>50</v>
      </c>
      <c r="G43" s="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K26"/>
  <sheetViews>
    <sheetView tabSelected="1" topLeftCell="A2" workbookViewId="0">
      <selection activeCell="F18" sqref="F18"/>
    </sheetView>
  </sheetViews>
  <sheetFormatPr defaultRowHeight="14.5" x14ac:dyDescent="0.35"/>
  <cols>
    <col min="2" max="7" width="12.7265625" customWidth="1"/>
    <col min="10" max="11" width="12.7265625" customWidth="1"/>
  </cols>
  <sheetData>
    <row r="2" spans="2:11" ht="16" x14ac:dyDescent="0.4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</row>
    <row r="3" spans="2:11" ht="16.5" thickBot="1" x14ac:dyDescent="0.45">
      <c r="B3" s="10" t="s">
        <v>1</v>
      </c>
      <c r="C3" s="11"/>
      <c r="D3" s="6"/>
      <c r="E3" s="6"/>
      <c r="F3" s="6"/>
      <c r="G3" s="6"/>
      <c r="J3" s="10" t="s">
        <v>2</v>
      </c>
      <c r="K3" s="11"/>
    </row>
    <row r="4" spans="2:11" ht="17" thickBot="1" x14ac:dyDescent="0.5">
      <c r="B4" s="1" t="s">
        <v>3</v>
      </c>
      <c r="C4" s="1" t="s">
        <v>4</v>
      </c>
      <c r="D4" s="1" t="s">
        <v>10</v>
      </c>
      <c r="E4" s="1" t="s">
        <v>11</v>
      </c>
      <c r="F4" s="1" t="s">
        <v>12</v>
      </c>
      <c r="G4" s="1" t="s">
        <v>13</v>
      </c>
      <c r="J4" s="12" t="s">
        <v>5</v>
      </c>
      <c r="K4" s="13"/>
    </row>
    <row r="5" spans="2:11" ht="15" thickBot="1" x14ac:dyDescent="0.4">
      <c r="B5" s="2">
        <v>5</v>
      </c>
      <c r="C5" s="2">
        <v>4</v>
      </c>
      <c r="D5" s="2">
        <v>3</v>
      </c>
      <c r="E5" s="2">
        <v>2</v>
      </c>
      <c r="F5" s="2">
        <v>3</v>
      </c>
      <c r="G5" s="2">
        <v>3</v>
      </c>
      <c r="J5" s="14">
        <f>SUMPRODUCT(B5:G5,B9:G9)</f>
        <v>112</v>
      </c>
      <c r="K5" s="15"/>
    </row>
    <row r="7" spans="2:11" ht="16.5" thickBot="1" x14ac:dyDescent="0.45">
      <c r="B7" s="8" t="s">
        <v>6</v>
      </c>
      <c r="C7" s="9"/>
      <c r="D7" s="9"/>
      <c r="E7" s="9"/>
      <c r="F7" s="9"/>
      <c r="G7" s="9"/>
      <c r="H7" s="9"/>
      <c r="I7" s="9"/>
      <c r="J7" s="9"/>
      <c r="K7" s="9"/>
    </row>
    <row r="8" spans="2:11" ht="17" thickBot="1" x14ac:dyDescent="0.5">
      <c r="B8" s="1" t="s">
        <v>3</v>
      </c>
      <c r="C8" s="1" t="s">
        <v>4</v>
      </c>
      <c r="D8" s="1" t="s">
        <v>10</v>
      </c>
      <c r="E8" s="1" t="s">
        <v>11</v>
      </c>
      <c r="F8" s="1" t="s">
        <v>12</v>
      </c>
      <c r="G8" s="1" t="s">
        <v>13</v>
      </c>
    </row>
    <row r="9" spans="2:11" ht="15" thickBot="1" x14ac:dyDescent="0.4">
      <c r="B9" s="5">
        <v>6</v>
      </c>
      <c r="C9" s="5">
        <v>7</v>
      </c>
      <c r="D9" s="5">
        <v>5</v>
      </c>
      <c r="E9" s="5">
        <v>3</v>
      </c>
      <c r="F9" s="5">
        <v>6</v>
      </c>
      <c r="G9" s="5">
        <v>5</v>
      </c>
    </row>
    <row r="11" spans="2:11" ht="16" x14ac:dyDescent="0.4">
      <c r="B11" s="8" t="s">
        <v>7</v>
      </c>
      <c r="C11" s="9"/>
      <c r="D11" s="9"/>
      <c r="E11" s="9"/>
      <c r="F11" s="9"/>
      <c r="G11" s="9"/>
      <c r="H11" s="9"/>
      <c r="I11" s="9"/>
      <c r="J11" s="9"/>
      <c r="K11" s="9"/>
    </row>
    <row r="12" spans="2:11" ht="16.5" thickBot="1" x14ac:dyDescent="0.45">
      <c r="B12" s="10" t="s">
        <v>1</v>
      </c>
      <c r="C12" s="11"/>
      <c r="D12" s="6"/>
      <c r="E12" s="6"/>
      <c r="F12" s="6"/>
      <c r="G12" s="6"/>
      <c r="J12" s="4"/>
      <c r="K12" s="4"/>
    </row>
    <row r="13" spans="2:11" ht="17" thickBot="1" x14ac:dyDescent="0.5">
      <c r="B13" s="1" t="s">
        <v>3</v>
      </c>
      <c r="C13" s="1" t="s">
        <v>4</v>
      </c>
      <c r="D13" s="1" t="s">
        <v>10</v>
      </c>
      <c r="E13" s="1" t="s">
        <v>11</v>
      </c>
      <c r="F13" s="1" t="s">
        <v>12</v>
      </c>
      <c r="G13" s="1" t="s">
        <v>13</v>
      </c>
      <c r="J13" s="4" t="s">
        <v>8</v>
      </c>
      <c r="K13" s="4" t="s">
        <v>9</v>
      </c>
    </row>
    <row r="14" spans="2:11" ht="15" thickBot="1" x14ac:dyDescent="0.4"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J14" s="3">
        <f t="shared" ref="J14:J26" si="0">SUMPRODUCT(B14:G14,$B$9:$G$9)</f>
        <v>6</v>
      </c>
      <c r="K14" s="2">
        <v>6</v>
      </c>
    </row>
    <row r="15" spans="2:11" ht="15" thickBot="1" x14ac:dyDescent="0.4"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J15" s="3">
        <f t="shared" si="0"/>
        <v>7</v>
      </c>
      <c r="K15" s="2">
        <v>7</v>
      </c>
    </row>
    <row r="16" spans="2:11" ht="15" thickBot="1" x14ac:dyDescent="0.4"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J16" s="3">
        <f t="shared" si="0"/>
        <v>5</v>
      </c>
      <c r="K16" s="2">
        <v>5</v>
      </c>
    </row>
    <row r="17" spans="2:11" ht="15" thickBot="1" x14ac:dyDescent="0.4"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J17" s="3">
        <f t="shared" si="0"/>
        <v>3</v>
      </c>
      <c r="K17" s="2">
        <v>5</v>
      </c>
    </row>
    <row r="18" spans="2:11" ht="15" thickBot="1" x14ac:dyDescent="0.4"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J18" s="3">
        <f t="shared" si="0"/>
        <v>6</v>
      </c>
      <c r="K18" s="2">
        <v>6</v>
      </c>
    </row>
    <row r="19" spans="2:11" ht="15" thickBot="1" x14ac:dyDescent="0.4"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J19" s="3">
        <f t="shared" si="0"/>
        <v>5</v>
      </c>
      <c r="K19" s="2">
        <v>5</v>
      </c>
    </row>
    <row r="20" spans="2:11" ht="15" thickBot="1" x14ac:dyDescent="0.4"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J20" s="3">
        <f t="shared" si="0"/>
        <v>6</v>
      </c>
      <c r="K20" s="2">
        <v>4</v>
      </c>
    </row>
    <row r="21" spans="2:11" ht="15" thickBot="1" x14ac:dyDescent="0.4"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J21" s="3">
        <f t="shared" si="0"/>
        <v>7</v>
      </c>
      <c r="K21" s="2">
        <v>4</v>
      </c>
    </row>
    <row r="22" spans="2:11" ht="15" thickBot="1" x14ac:dyDescent="0.4"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J22" s="3">
        <f t="shared" si="0"/>
        <v>5</v>
      </c>
      <c r="K22" s="2">
        <v>3</v>
      </c>
    </row>
    <row r="23" spans="2:11" ht="15" thickBot="1" x14ac:dyDescent="0.4"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J23" s="3">
        <f t="shared" si="0"/>
        <v>3</v>
      </c>
      <c r="K23" s="2">
        <v>2</v>
      </c>
    </row>
    <row r="24" spans="2:11" ht="15" thickBot="1" x14ac:dyDescent="0.4"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J24" s="3">
        <f t="shared" si="0"/>
        <v>6</v>
      </c>
      <c r="K24" s="2">
        <v>4</v>
      </c>
    </row>
    <row r="25" spans="2:11" ht="15" thickBot="1" x14ac:dyDescent="0.4"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J25" s="3">
        <f t="shared" si="0"/>
        <v>5</v>
      </c>
      <c r="K25" s="2">
        <v>3</v>
      </c>
    </row>
    <row r="26" spans="2:11" ht="15" thickBot="1" x14ac:dyDescent="0.4"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J26" s="3">
        <f t="shared" si="0"/>
        <v>32</v>
      </c>
      <c r="K26" s="2">
        <v>32</v>
      </c>
    </row>
  </sheetData>
  <mergeCells count="8">
    <mergeCell ref="B11:K11"/>
    <mergeCell ref="B12:C12"/>
    <mergeCell ref="B2:K2"/>
    <mergeCell ref="B3:C3"/>
    <mergeCell ref="J3:K3"/>
    <mergeCell ref="J4:K4"/>
    <mergeCell ref="J5:K5"/>
    <mergeCell ref="B7:K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Relatório de Resposta 1</vt:lpstr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Tiago Gouveia Filipe</cp:lastModifiedBy>
  <dcterms:created xsi:type="dcterms:W3CDTF">2024-09-13T13:33:23Z</dcterms:created>
  <dcterms:modified xsi:type="dcterms:W3CDTF">2024-11-07T19:07:03Z</dcterms:modified>
</cp:coreProperties>
</file>